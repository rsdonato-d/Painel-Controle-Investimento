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btecno-my.sharepoint.com/personal/rodrigo_donato_bbts_com_br/Documents/Downloads/"/>
    </mc:Choice>
  </mc:AlternateContent>
  <xr:revisionPtr revIDLastSave="331" documentId="8_{57F19AC5-FE03-46B7-A135-B13E0F2FA044}" xr6:coauthVersionLast="47" xr6:coauthVersionMax="47" xr10:uidLastSave="{C128E0D9-D835-48DD-94AE-D0DD39CE63BF}"/>
  <bookViews>
    <workbookView xWindow="-110" yWindow="-110" windowWidth="19420" windowHeight="10300" xr2:uid="{09E28C7A-62F3-4E64-9819-D435944A8841}"/>
  </bookViews>
  <sheets>
    <sheet name="Planilha1" sheetId="1" r:id="rId1"/>
    <sheet name="P-Apoio" sheetId="2" state="hidden" r:id="rId2"/>
  </sheets>
  <definedNames>
    <definedName name="aporte">Planilha1!$D$14</definedName>
    <definedName name="patrimonio">Planilha1!$D$17</definedName>
    <definedName name="Qtd_anos">Planilha1!$D$15</definedName>
    <definedName name="Rendimento_carteira">Planilha1!$D$10</definedName>
    <definedName name="taxa_mensal">Planilha1!$D$16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D26" i="1"/>
  <c r="D27" i="1"/>
  <c r="D28" i="1"/>
  <c r="D29" i="1"/>
  <c r="D24" i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3" i="2"/>
  <c r="D21" i="1" l="1"/>
  <c r="D11" i="1"/>
  <c r="H15" i="1"/>
  <c r="I15" i="1" s="1"/>
  <c r="H16" i="1"/>
  <c r="I16" i="1" s="1"/>
  <c r="H17" i="1"/>
  <c r="I17" i="1" s="1"/>
  <c r="H18" i="1"/>
  <c r="I18" i="1" s="1"/>
  <c r="H14" i="1"/>
  <c r="I14" i="1" s="1"/>
  <c r="D17" i="1"/>
  <c r="D18" i="1" s="1"/>
  <c r="E24" i="1" l="1"/>
  <c r="E26" i="1"/>
  <c r="E27" i="1"/>
  <c r="E28" i="1"/>
  <c r="E29" i="1"/>
  <c r="E25" i="1"/>
  <c r="E30" i="1" l="1"/>
</calcChain>
</file>

<file path=xl/sharedStrings.xml><?xml version="1.0" encoding="utf-8"?>
<sst xmlns="http://schemas.openxmlformats.org/spreadsheetml/2006/main" count="70" uniqueCount="34">
  <si>
    <t>INVESTIMENTO MENSAL</t>
  </si>
  <si>
    <t>Quanto investir por mê?</t>
  </si>
  <si>
    <t>Por quantos anos?</t>
  </si>
  <si>
    <t>Taxa de rendimento mensal?</t>
  </si>
  <si>
    <t>Patrimônio acumulado?</t>
  </si>
  <si>
    <t>Divendendos mensais?</t>
  </si>
  <si>
    <t>Quanto em 2 anos?</t>
  </si>
  <si>
    <t>Quanto em 5 anos?</t>
  </si>
  <si>
    <t>Quanto em 10 anos?</t>
  </si>
  <si>
    <t>Quanto em 20 anos?</t>
  </si>
  <si>
    <t>Quanto em 30 anos?</t>
  </si>
  <si>
    <t>Salário</t>
  </si>
  <si>
    <t>Rendimento da Carteira</t>
  </si>
  <si>
    <t>Sugestão de Investimento</t>
  </si>
  <si>
    <t>CONFIGURAÇÕES</t>
  </si>
  <si>
    <t>CENÁRIOS</t>
  </si>
  <si>
    <t>DIVIDENDOS</t>
  </si>
  <si>
    <t>PERFIL</t>
  </si>
  <si>
    <t>Conservador</t>
  </si>
  <si>
    <t>VALOR A SER INVESTIDO POR MÊS</t>
  </si>
  <si>
    <t>TIPO DE FII</t>
  </si>
  <si>
    <t>PAPEL</t>
  </si>
  <si>
    <t>TIJOLO</t>
  </si>
  <si>
    <t>PERCENTUAL SUGERIDO</t>
  </si>
  <si>
    <t>VALORES</t>
  </si>
  <si>
    <t>HÍBRIDOS</t>
  </si>
  <si>
    <t>FOFs</t>
  </si>
  <si>
    <t>DESENVOLVIMENTO</t>
  </si>
  <si>
    <t>HOTELARIAS</t>
  </si>
  <si>
    <t>Moderado</t>
  </si>
  <si>
    <t>Agressivo</t>
  </si>
  <si>
    <t>%</t>
  </si>
  <si>
    <t>Chave</t>
  </si>
  <si>
    <r>
      <rPr>
        <b/>
        <i/>
        <sz val="11"/>
        <color theme="1"/>
        <rFont val="Aptos Narrow"/>
        <family val="2"/>
        <scheme val="minor"/>
      </rPr>
      <t>Obsevação:</t>
    </r>
    <r>
      <rPr>
        <sz val="11"/>
        <color theme="1"/>
        <rFont val="Aptos Narrow"/>
        <family val="2"/>
        <scheme val="minor"/>
      </rPr>
      <t xml:space="preserve"> Altere somente as céluas/valores que possuem fundo na cor branca.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</si>
</sst>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2"/>
      </right>
      <top/>
      <bottom style="hair">
        <color theme="2"/>
      </bottom>
      <diagonal/>
    </border>
    <border>
      <left style="hair">
        <color theme="2"/>
      </left>
      <right style="medium">
        <color indexed="64"/>
      </right>
      <top/>
      <bottom style="hair">
        <color theme="2"/>
      </bottom>
      <diagonal/>
    </border>
    <border>
      <left style="medium">
        <color indexed="64"/>
      </left>
      <right style="hair">
        <color theme="2"/>
      </right>
      <top style="hair">
        <color theme="2"/>
      </top>
      <bottom style="hair">
        <color theme="2"/>
      </bottom>
      <diagonal/>
    </border>
    <border>
      <left style="hair">
        <color theme="2"/>
      </left>
      <right style="medium">
        <color indexed="64"/>
      </right>
      <top style="hair">
        <color theme="2"/>
      </top>
      <bottom style="hair">
        <color theme="2"/>
      </bottom>
      <diagonal/>
    </border>
    <border>
      <left style="medium">
        <color indexed="64"/>
      </left>
      <right style="hair">
        <color theme="2"/>
      </right>
      <top style="hair">
        <color theme="2"/>
      </top>
      <bottom style="medium">
        <color indexed="64"/>
      </bottom>
      <diagonal/>
    </border>
    <border>
      <left style="hair">
        <color theme="2"/>
      </left>
      <right style="medium">
        <color indexed="64"/>
      </right>
      <top style="hair">
        <color theme="2"/>
      </top>
      <bottom style="medium">
        <color indexed="64"/>
      </bottom>
      <diagonal/>
    </border>
    <border>
      <left style="medium">
        <color indexed="64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medium">
        <color indexed="64"/>
      </right>
      <top/>
      <bottom style="thin">
        <color theme="2"/>
      </bottom>
      <diagonal/>
    </border>
    <border>
      <left style="medium">
        <color indexed="64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medium">
        <color indexed="64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 style="thin">
        <color theme="2"/>
      </right>
      <top style="thin">
        <color theme="2"/>
      </top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medium">
        <color indexed="64"/>
      </bottom>
      <diagonal/>
    </border>
    <border>
      <left style="thin">
        <color theme="2"/>
      </left>
      <right style="medium">
        <color indexed="64"/>
      </right>
      <top style="thin">
        <color theme="2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4">
    <xf numFmtId="0" fontId="0" fillId="0" borderId="0" xfId="0"/>
    <xf numFmtId="0" fontId="4" fillId="4" borderId="0" xfId="0" applyFont="1" applyFill="1"/>
    <xf numFmtId="0" fontId="4" fillId="0" borderId="0" xfId="0" applyFont="1"/>
    <xf numFmtId="0" fontId="5" fillId="5" borderId="1" xfId="0" applyFont="1" applyFill="1" applyBorder="1"/>
    <xf numFmtId="0" fontId="5" fillId="5" borderId="29" xfId="0" applyFont="1" applyFill="1" applyBorder="1"/>
    <xf numFmtId="0" fontId="6" fillId="5" borderId="2" xfId="0" applyFont="1" applyFill="1" applyBorder="1" applyAlignment="1">
      <alignment horizontal="center"/>
    </xf>
    <xf numFmtId="164" fontId="7" fillId="0" borderId="15" xfId="1" applyNumberFormat="1" applyFont="1" applyBorder="1" applyAlignment="1">
      <alignment horizontal="center"/>
    </xf>
    <xf numFmtId="10" fontId="7" fillId="0" borderId="17" xfId="0" applyNumberFormat="1" applyFont="1" applyBorder="1" applyAlignment="1">
      <alignment horizontal="center"/>
    </xf>
    <xf numFmtId="0" fontId="7" fillId="0" borderId="7" xfId="0" applyFont="1" applyBorder="1"/>
    <xf numFmtId="164" fontId="8" fillId="0" borderId="8" xfId="1" applyNumberFormat="1" applyFont="1" applyBorder="1" applyAlignment="1">
      <alignment horizontal="center" vertical="center"/>
    </xf>
    <xf numFmtId="0" fontId="7" fillId="0" borderId="9" xfId="0" applyFont="1" applyBorder="1"/>
    <xf numFmtId="0" fontId="8" fillId="0" borderId="10" xfId="0" applyFont="1" applyBorder="1" applyAlignment="1">
      <alignment horizontal="center" vertical="center"/>
    </xf>
    <xf numFmtId="10" fontId="8" fillId="0" borderId="10" xfId="2" applyNumberFormat="1" applyFont="1" applyBorder="1" applyAlignment="1">
      <alignment horizontal="center" vertical="center"/>
    </xf>
    <xf numFmtId="0" fontId="0" fillId="0" borderId="13" xfId="0" applyBorder="1"/>
    <xf numFmtId="0" fontId="3" fillId="7" borderId="1" xfId="0" applyFont="1" applyFill="1" applyBorder="1" applyAlignment="1">
      <alignment horizontal="center" vertical="center"/>
    </xf>
    <xf numFmtId="0" fontId="3" fillId="7" borderId="29" xfId="0" applyFont="1" applyFill="1" applyBorder="1" applyAlignment="1">
      <alignment vertical="center"/>
    </xf>
    <xf numFmtId="0" fontId="3" fillId="7" borderId="2" xfId="0" applyFont="1" applyFill="1" applyBorder="1" applyAlignment="1">
      <alignment vertical="center"/>
    </xf>
    <xf numFmtId="0" fontId="0" fillId="0" borderId="3" xfId="0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7" borderId="5" xfId="0" applyFill="1" applyBorder="1"/>
    <xf numFmtId="0" fontId="0" fillId="7" borderId="13" xfId="0" applyFill="1" applyBorder="1" applyAlignment="1">
      <alignment horizontal="center"/>
    </xf>
    <xf numFmtId="164" fontId="3" fillId="7" borderId="6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164" fontId="0" fillId="8" borderId="4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9" fontId="0" fillId="0" borderId="0" xfId="2" applyFont="1" applyAlignment="1">
      <alignment horizontal="center"/>
    </xf>
    <xf numFmtId="9" fontId="0" fillId="0" borderId="13" xfId="2" applyFont="1" applyBorder="1" applyAlignment="1">
      <alignment horizontal="center"/>
    </xf>
    <xf numFmtId="9" fontId="0" fillId="0" borderId="13" xfId="0" applyNumberFormat="1" applyBorder="1" applyAlignment="1">
      <alignment horizontal="center"/>
    </xf>
    <xf numFmtId="9" fontId="0" fillId="8" borderId="0" xfId="0" applyNumberFormat="1" applyFill="1" applyAlignment="1">
      <alignment horizontal="center"/>
    </xf>
    <xf numFmtId="0" fontId="0" fillId="8" borderId="3" xfId="0" applyFill="1" applyBorder="1" applyAlignment="1">
      <alignment horizontal="center"/>
    </xf>
    <xf numFmtId="0" fontId="2" fillId="2" borderId="1" xfId="3" applyBorder="1"/>
    <xf numFmtId="0" fontId="0" fillId="3" borderId="5" xfId="0" applyFill="1" applyBorder="1"/>
    <xf numFmtId="0" fontId="7" fillId="8" borderId="20" xfId="0" applyFont="1" applyFill="1" applyBorder="1"/>
    <xf numFmtId="8" fontId="7" fillId="8" borderId="21" xfId="0" applyNumberFormat="1" applyFont="1" applyFill="1" applyBorder="1" applyAlignment="1">
      <alignment horizontal="center"/>
    </xf>
    <xf numFmtId="8" fontId="7" fillId="8" borderId="22" xfId="0" applyNumberFormat="1" applyFont="1" applyFill="1" applyBorder="1" applyAlignment="1">
      <alignment horizontal="center"/>
    </xf>
    <xf numFmtId="0" fontId="7" fillId="8" borderId="23" xfId="0" applyFont="1" applyFill="1" applyBorder="1"/>
    <xf numFmtId="8" fontId="7" fillId="8" borderId="24" xfId="0" applyNumberFormat="1" applyFont="1" applyFill="1" applyBorder="1" applyAlignment="1">
      <alignment horizontal="center"/>
    </xf>
    <xf numFmtId="8" fontId="7" fillId="8" borderId="25" xfId="0" applyNumberFormat="1" applyFont="1" applyFill="1" applyBorder="1" applyAlignment="1">
      <alignment horizontal="center"/>
    </xf>
    <xf numFmtId="0" fontId="7" fillId="8" borderId="26" xfId="0" applyFont="1" applyFill="1" applyBorder="1"/>
    <xf numFmtId="8" fontId="7" fillId="8" borderId="27" xfId="0" applyNumberFormat="1" applyFont="1" applyFill="1" applyBorder="1" applyAlignment="1">
      <alignment horizontal="center"/>
    </xf>
    <xf numFmtId="8" fontId="7" fillId="8" borderId="28" xfId="0" applyNumberFormat="1" applyFont="1" applyFill="1" applyBorder="1" applyAlignment="1">
      <alignment horizontal="center"/>
    </xf>
    <xf numFmtId="0" fontId="8" fillId="8" borderId="9" xfId="0" applyFont="1" applyFill="1" applyBorder="1"/>
    <xf numFmtId="8" fontId="8" fillId="8" borderId="10" xfId="0" applyNumberFormat="1" applyFont="1" applyFill="1" applyBorder="1" applyAlignment="1">
      <alignment horizontal="center" vertical="center"/>
    </xf>
    <xf numFmtId="0" fontId="8" fillId="8" borderId="11" xfId="0" applyFont="1" applyFill="1" applyBorder="1"/>
    <xf numFmtId="8" fontId="8" fillId="8" borderId="12" xfId="0" applyNumberFormat="1" applyFont="1" applyFill="1" applyBorder="1" applyAlignment="1">
      <alignment horizontal="center" vertical="center"/>
    </xf>
    <xf numFmtId="0" fontId="7" fillId="8" borderId="14" xfId="0" applyFont="1" applyFill="1" applyBorder="1"/>
    <xf numFmtId="0" fontId="7" fillId="8" borderId="16" xfId="0" applyFont="1" applyFill="1" applyBorder="1"/>
    <xf numFmtId="0" fontId="7" fillId="8" borderId="18" xfId="0" applyFont="1" applyFill="1" applyBorder="1"/>
    <xf numFmtId="164" fontId="7" fillId="8" borderId="19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2" borderId="2" xfId="3" applyBorder="1" applyAlignment="1">
      <alignment horizontal="center"/>
    </xf>
    <xf numFmtId="164" fontId="0" fillId="3" borderId="6" xfId="0" applyNumberFormat="1" applyFill="1" applyBorder="1" applyAlignment="1">
      <alignment horizontal="center" vertic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Planilha1!$D$23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Planilha1!$C$24:$C$29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Planilha1!$D$24:$D$29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B4-4B18-929A-8C39194E938D}"/>
            </c:ext>
          </c:extLst>
        </c:ser>
        <c:ser>
          <c:idx val="1"/>
          <c:order val="1"/>
          <c:tx>
            <c:strRef>
              <c:f>Planilha1!$E$23</c:f>
              <c:strCache>
                <c:ptCount val="1"/>
                <c:pt idx="0">
                  <c:v>VALORES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Planilha1!$C$24:$C$29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Planilha1!$E$24:$E$29</c:f>
              <c:numCache>
                <c:formatCode>"R$"\ #,##0.00</c:formatCode>
                <c:ptCount val="6"/>
                <c:pt idx="0">
                  <c:v>270</c:v>
                </c:pt>
                <c:pt idx="1">
                  <c:v>450</c:v>
                </c:pt>
                <c:pt idx="2">
                  <c:v>90</c:v>
                </c:pt>
                <c:pt idx="3">
                  <c:v>90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B4-4B18-929A-8C39194E9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139700</xdr:rowOff>
    </xdr:from>
    <xdr:to>
      <xdr:col>9</xdr:col>
      <xdr:colOff>0</xdr:colOff>
      <xdr:row>5</xdr:row>
      <xdr:rowOff>107950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D03F9A04-F4D5-5996-5DC0-EEAAF91F139C}"/>
            </a:ext>
          </a:extLst>
        </xdr:cNvPr>
        <xdr:cNvSpPr/>
      </xdr:nvSpPr>
      <xdr:spPr>
        <a:xfrm>
          <a:off x="146050" y="139700"/>
          <a:ext cx="7639050" cy="889000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>
              <a:latin typeface="Algerian" panose="04020705040A02060702" pitchFamily="82" charset="0"/>
            </a:rPr>
            <a:t>PLANO INVEST</a:t>
          </a:r>
        </a:p>
      </xdr:txBody>
    </xdr:sp>
    <xdr:clientData/>
  </xdr:twoCellAnchor>
  <xdr:twoCellAnchor editAs="oneCell">
    <xdr:from>
      <xdr:col>2</xdr:col>
      <xdr:colOff>57150</xdr:colOff>
      <xdr:row>0</xdr:row>
      <xdr:rowOff>107950</xdr:rowOff>
    </xdr:from>
    <xdr:to>
      <xdr:col>2</xdr:col>
      <xdr:colOff>857250</xdr:colOff>
      <xdr:row>4</xdr:row>
      <xdr:rowOff>171450</xdr:rowOff>
    </xdr:to>
    <xdr:pic>
      <xdr:nvPicPr>
        <xdr:cNvPr id="4" name="Gráfico 3" descr="Cofrinho com preenchimento sólido">
          <a:extLst>
            <a:ext uri="{FF2B5EF4-FFF2-40B4-BE49-F238E27FC236}">
              <a16:creationId xmlns:a16="http://schemas.microsoft.com/office/drawing/2014/main" id="{2F7EC4EF-1601-797F-7D52-BE638DF33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38200" y="107950"/>
          <a:ext cx="800100" cy="800100"/>
        </a:xfrm>
        <a:prstGeom prst="rect">
          <a:avLst/>
        </a:prstGeom>
      </xdr:spPr>
    </xdr:pic>
    <xdr:clientData/>
  </xdr:twoCellAnchor>
  <xdr:twoCellAnchor>
    <xdr:from>
      <xdr:col>6</xdr:col>
      <xdr:colOff>107950</xdr:colOff>
      <xdr:row>19</xdr:row>
      <xdr:rowOff>6350</xdr:rowOff>
    </xdr:from>
    <xdr:to>
      <xdr:col>9</xdr:col>
      <xdr:colOff>0</xdr:colOff>
      <xdr:row>30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BE0FEEA-C95B-D03C-449E-7ED77BEC2B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A5D01-4E7F-4C20-8A97-9A4AA7EED296}">
  <dimension ref="A1:J36"/>
  <sheetViews>
    <sheetView showGridLines="0" tabSelected="1" workbookViewId="0">
      <selection activeCell="E20" sqref="E20"/>
    </sheetView>
  </sheetViews>
  <sheetFormatPr defaultColWidth="0" defaultRowHeight="14.5" zeroHeight="1" x14ac:dyDescent="0.35"/>
  <cols>
    <col min="1" max="1" width="2.08984375" customWidth="1"/>
    <col min="2" max="2" width="2.453125" customWidth="1"/>
    <col min="3" max="3" width="29.54296875" customWidth="1"/>
    <col min="4" max="4" width="22.81640625" customWidth="1"/>
    <col min="5" max="5" width="11.08984375" customWidth="1"/>
    <col min="6" max="6" width="0.90625" customWidth="1"/>
    <col min="7" max="7" width="22.26953125" customWidth="1"/>
    <col min="8" max="8" width="15" bestFit="1" customWidth="1"/>
    <col min="9" max="9" width="12.1796875" bestFit="1" customWidth="1"/>
    <col min="10" max="10" width="2.26953125" customWidth="1"/>
    <col min="11" max="16384" width="8.7265625" hidden="1"/>
  </cols>
  <sheetData>
    <row r="1" spans="3:9" x14ac:dyDescent="0.35"/>
    <row r="2" spans="3:9" x14ac:dyDescent="0.35"/>
    <row r="3" spans="3:9" x14ac:dyDescent="0.35"/>
    <row r="4" spans="3:9" x14ac:dyDescent="0.35"/>
    <row r="5" spans="3:9" x14ac:dyDescent="0.35"/>
    <row r="6" spans="3:9" x14ac:dyDescent="0.35"/>
    <row r="7" spans="3:9" ht="15" thickBot="1" x14ac:dyDescent="0.4"/>
    <row r="8" spans="3:9" ht="18.5" x14ac:dyDescent="0.45">
      <c r="C8" s="24" t="s">
        <v>14</v>
      </c>
      <c r="D8" s="25"/>
      <c r="G8" s="53" t="s">
        <v>33</v>
      </c>
      <c r="H8" s="54"/>
      <c r="I8" s="55"/>
    </row>
    <row r="9" spans="3:9" ht="16" x14ac:dyDescent="0.4">
      <c r="C9" s="49" t="s">
        <v>11</v>
      </c>
      <c r="D9" s="6">
        <v>5000</v>
      </c>
      <c r="G9" s="56"/>
      <c r="H9" s="57"/>
      <c r="I9" s="58"/>
    </row>
    <row r="10" spans="3:9" ht="16" x14ac:dyDescent="0.4">
      <c r="C10" s="50" t="s">
        <v>12</v>
      </c>
      <c r="D10" s="7">
        <v>9.7999999999999997E-3</v>
      </c>
      <c r="G10" s="56"/>
      <c r="H10" s="57"/>
      <c r="I10" s="58"/>
    </row>
    <row r="11" spans="3:9" ht="16.5" thickBot="1" x14ac:dyDescent="0.45">
      <c r="C11" s="51" t="s">
        <v>13</v>
      </c>
      <c r="D11" s="52">
        <f>D9*30%</f>
        <v>1500</v>
      </c>
      <c r="G11" s="59"/>
      <c r="H11" s="60"/>
      <c r="I11" s="61"/>
    </row>
    <row r="12" spans="3:9" ht="15" thickBot="1" x14ac:dyDescent="0.4"/>
    <row r="13" spans="3:9" ht="18.5" x14ac:dyDescent="0.45">
      <c r="C13" s="22" t="s">
        <v>0</v>
      </c>
      <c r="D13" s="23"/>
      <c r="G13" s="3" t="s">
        <v>15</v>
      </c>
      <c r="H13" s="4"/>
      <c r="I13" s="5" t="s">
        <v>16</v>
      </c>
    </row>
    <row r="14" spans="3:9" ht="16" x14ac:dyDescent="0.4">
      <c r="C14" s="8" t="s">
        <v>1</v>
      </c>
      <c r="D14" s="9">
        <v>900</v>
      </c>
      <c r="G14" s="36" t="s">
        <v>6</v>
      </c>
      <c r="H14" s="37">
        <f>FV($D$16,$B31*12,$D$14*-1)</f>
        <v>24504.864567880697</v>
      </c>
      <c r="I14" s="38">
        <f>H14*Rendimento_carteira</f>
        <v>240.14767276523082</v>
      </c>
    </row>
    <row r="15" spans="3:9" ht="16" x14ac:dyDescent="0.4">
      <c r="C15" s="10" t="s">
        <v>2</v>
      </c>
      <c r="D15" s="11">
        <v>10</v>
      </c>
      <c r="G15" s="39" t="s">
        <v>7</v>
      </c>
      <c r="H15" s="40">
        <f>FV($D$16,$B32*12,$D$14*-1)</f>
        <v>75399.22259863888</v>
      </c>
      <c r="I15" s="41">
        <f>H15*Rendimento_carteira</f>
        <v>738.91238146666103</v>
      </c>
    </row>
    <row r="16" spans="3:9" ht="16" x14ac:dyDescent="0.4">
      <c r="C16" s="10" t="s">
        <v>3</v>
      </c>
      <c r="D16" s="12">
        <v>1.0789999999999999E-2</v>
      </c>
      <c r="G16" s="39" t="s">
        <v>8</v>
      </c>
      <c r="H16" s="40">
        <f>FV($D$16,$B33*12,$D$14*-1)</f>
        <v>218955.79127715499</v>
      </c>
      <c r="I16" s="41">
        <f>H16*Rendimento_carteira</f>
        <v>2145.7667545161189</v>
      </c>
    </row>
    <row r="17" spans="2:9" ht="16" x14ac:dyDescent="0.4">
      <c r="C17" s="45" t="s">
        <v>4</v>
      </c>
      <c r="D17" s="46">
        <f>FV(taxa_mensal,D15*12,D14*-1)</f>
        <v>218955.79127715499</v>
      </c>
      <c r="G17" s="39" t="s">
        <v>9</v>
      </c>
      <c r="H17" s="40">
        <f>FV($D$16,$B34*12,$D$14*-1)</f>
        <v>1012678.5600873725</v>
      </c>
      <c r="I17" s="41">
        <f>H17*Rendimento_carteira</f>
        <v>9924.2498888562513</v>
      </c>
    </row>
    <row r="18" spans="2:9" ht="16.5" thickBot="1" x14ac:dyDescent="0.45">
      <c r="C18" s="47" t="s">
        <v>5</v>
      </c>
      <c r="D18" s="48">
        <f>patrimonio*Rendimento_carteira</f>
        <v>2145.7667545161189</v>
      </c>
      <c r="G18" s="42" t="s">
        <v>10</v>
      </c>
      <c r="H18" s="43">
        <f>FV($D$16,$B35*12,$D$14*-1)</f>
        <v>3889952.689504243</v>
      </c>
      <c r="I18" s="44">
        <f>H18*Rendimento_carteira</f>
        <v>38121.53635714158</v>
      </c>
    </row>
    <row r="19" spans="2:9" ht="15" thickBot="1" x14ac:dyDescent="0.4"/>
    <row r="20" spans="2:9" x14ac:dyDescent="0.35">
      <c r="C20" s="34" t="s">
        <v>17</v>
      </c>
      <c r="D20" s="62" t="s">
        <v>18</v>
      </c>
    </row>
    <row r="21" spans="2:9" ht="15" thickBot="1" x14ac:dyDescent="0.4">
      <c r="C21" s="35" t="s">
        <v>19</v>
      </c>
      <c r="D21" s="63">
        <f>aporte</f>
        <v>900</v>
      </c>
    </row>
    <row r="22" spans="2:9" ht="15" thickBot="1" x14ac:dyDescent="0.4"/>
    <row r="23" spans="2:9" x14ac:dyDescent="0.35">
      <c r="C23" s="14" t="s">
        <v>20</v>
      </c>
      <c r="D23" s="15" t="s">
        <v>23</v>
      </c>
      <c r="E23" s="16" t="s">
        <v>24</v>
      </c>
    </row>
    <row r="24" spans="2:9" x14ac:dyDescent="0.35">
      <c r="C24" s="33" t="s">
        <v>21</v>
      </c>
      <c r="D24" s="32">
        <f>VLOOKUP($D$20&amp;"-"&amp;C24,'P-Apoio'!A2:D20,4,FALSE)</f>
        <v>0.3</v>
      </c>
      <c r="E24" s="26">
        <f>D24*$D$21</f>
        <v>270</v>
      </c>
    </row>
    <row r="25" spans="2:9" x14ac:dyDescent="0.35">
      <c r="C25" s="33" t="s">
        <v>22</v>
      </c>
      <c r="D25" s="32">
        <f>VLOOKUP($D$20&amp;"-"&amp;C25,'P-Apoio'!A3:D21,4,FALSE)</f>
        <v>0.5</v>
      </c>
      <c r="E25" s="26">
        <f t="shared" ref="E25:E29" si="0">D25*$D$21</f>
        <v>450</v>
      </c>
    </row>
    <row r="26" spans="2:9" x14ac:dyDescent="0.35">
      <c r="C26" s="33" t="s">
        <v>25</v>
      </c>
      <c r="D26" s="32">
        <f>VLOOKUP($D$20&amp;"-"&amp;C26,'P-Apoio'!A4:D22,4,FALSE)</f>
        <v>0.1</v>
      </c>
      <c r="E26" s="26">
        <f t="shared" si="0"/>
        <v>90</v>
      </c>
    </row>
    <row r="27" spans="2:9" x14ac:dyDescent="0.35">
      <c r="C27" s="33" t="s">
        <v>26</v>
      </c>
      <c r="D27" s="32">
        <f>VLOOKUP($D$20&amp;"-"&amp;C27,'P-Apoio'!A5:D23,4,FALSE)</f>
        <v>0.1</v>
      </c>
      <c r="E27" s="26">
        <f t="shared" si="0"/>
        <v>90</v>
      </c>
    </row>
    <row r="28" spans="2:9" x14ac:dyDescent="0.35">
      <c r="C28" s="33" t="s">
        <v>27</v>
      </c>
      <c r="D28" s="32">
        <f>VLOOKUP($D$20&amp;"-"&amp;C28,'P-Apoio'!A6:D24,4,FALSE)</f>
        <v>0</v>
      </c>
      <c r="E28" s="26">
        <f t="shared" si="0"/>
        <v>0</v>
      </c>
    </row>
    <row r="29" spans="2:9" x14ac:dyDescent="0.35">
      <c r="C29" s="33" t="s">
        <v>28</v>
      </c>
      <c r="D29" s="32">
        <f>VLOOKUP($D$20&amp;"-"&amp;C29,'P-Apoio'!A7:D25,4,FALSE)</f>
        <v>0</v>
      </c>
      <c r="E29" s="26">
        <f t="shared" si="0"/>
        <v>0</v>
      </c>
    </row>
    <row r="30" spans="2:9" ht="15" thickBot="1" x14ac:dyDescent="0.4">
      <c r="C30" s="19"/>
      <c r="D30" s="20"/>
      <c r="E30" s="21">
        <f>SUM(E24:E29)</f>
        <v>900</v>
      </c>
    </row>
    <row r="31" spans="2:9" x14ac:dyDescent="0.35">
      <c r="B31" s="1">
        <v>2</v>
      </c>
    </row>
    <row r="32" spans="2:9" hidden="1" x14ac:dyDescent="0.35">
      <c r="B32" s="1">
        <v>5</v>
      </c>
    </row>
    <row r="33" spans="2:2" hidden="1" x14ac:dyDescent="0.35">
      <c r="B33" s="1">
        <v>10</v>
      </c>
    </row>
    <row r="34" spans="2:2" hidden="1" x14ac:dyDescent="0.35">
      <c r="B34" s="1">
        <v>20</v>
      </c>
    </row>
    <row r="35" spans="2:2" hidden="1" x14ac:dyDescent="0.35">
      <c r="B35" s="1">
        <v>30</v>
      </c>
    </row>
    <row r="36" spans="2:2" hidden="1" x14ac:dyDescent="0.35">
      <c r="B36" s="2"/>
    </row>
  </sheetData>
  <mergeCells count="3">
    <mergeCell ref="C13:D13"/>
    <mergeCell ref="C8:D8"/>
    <mergeCell ref="G8:I11"/>
  </mergeCells>
  <dataValidations count="1">
    <dataValidation type="list" allowBlank="1" showInputMessage="1" showErrorMessage="1" sqref="D20" xr:uid="{2F6A538B-094B-4B0C-A70B-35B30ECF5B68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headerFooter>
    <oddHeader>&amp;L&amp;"Calibri"&amp;10&amp;K000000 #pública&amp;1#_x000D_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D6ABE-FEAD-4734-AE53-ADC544678A23}">
  <dimension ref="A1:D20"/>
  <sheetViews>
    <sheetView topLeftCell="A4" workbookViewId="0">
      <selection activeCell="G2" sqref="G2"/>
    </sheetView>
  </sheetViews>
  <sheetFormatPr defaultRowHeight="14.5" x14ac:dyDescent="0.35"/>
  <cols>
    <col min="1" max="1" width="28.54296875" bestFit="1" customWidth="1"/>
    <col min="2" max="2" width="11.08984375" bestFit="1" customWidth="1"/>
    <col min="3" max="3" width="18.90625" customWidth="1"/>
    <col min="4" max="4" width="8.7265625" style="27"/>
  </cols>
  <sheetData>
    <row r="1" spans="1:4" ht="15" thickBot="1" x14ac:dyDescent="0.4"/>
    <row r="2" spans="1:4" x14ac:dyDescent="0.35">
      <c r="A2" t="s">
        <v>32</v>
      </c>
      <c r="B2" t="s">
        <v>17</v>
      </c>
      <c r="C2" s="14" t="s">
        <v>20</v>
      </c>
      <c r="D2" s="27" t="s">
        <v>31</v>
      </c>
    </row>
    <row r="3" spans="1:4" x14ac:dyDescent="0.35">
      <c r="A3" t="str">
        <f>B3&amp;"-"&amp;C3</f>
        <v>Conservador-PAPEL</v>
      </c>
      <c r="B3" t="s">
        <v>18</v>
      </c>
      <c r="C3" s="17" t="s">
        <v>21</v>
      </c>
      <c r="D3" s="29">
        <v>0.3</v>
      </c>
    </row>
    <row r="4" spans="1:4" x14ac:dyDescent="0.35">
      <c r="A4" t="str">
        <f t="shared" ref="A4:A20" si="0">B4&amp;"-"&amp;C4</f>
        <v>Conservador-TIJOLO</v>
      </c>
      <c r="B4" t="s">
        <v>18</v>
      </c>
      <c r="C4" s="17" t="s">
        <v>22</v>
      </c>
      <c r="D4" s="29">
        <v>0.5</v>
      </c>
    </row>
    <row r="5" spans="1:4" x14ac:dyDescent="0.35">
      <c r="A5" t="str">
        <f t="shared" si="0"/>
        <v>Conservador-HÍBRIDOS</v>
      </c>
      <c r="B5" t="s">
        <v>18</v>
      </c>
      <c r="C5" s="17" t="s">
        <v>25</v>
      </c>
      <c r="D5" s="29">
        <v>0.1</v>
      </c>
    </row>
    <row r="6" spans="1:4" x14ac:dyDescent="0.35">
      <c r="A6" t="str">
        <f t="shared" si="0"/>
        <v>Conservador-FOFs</v>
      </c>
      <c r="B6" t="s">
        <v>18</v>
      </c>
      <c r="C6" s="17" t="s">
        <v>26</v>
      </c>
      <c r="D6" s="29">
        <v>0.1</v>
      </c>
    </row>
    <row r="7" spans="1:4" x14ac:dyDescent="0.35">
      <c r="A7" t="str">
        <f t="shared" si="0"/>
        <v>Conservador-DESENVOLVIMENTO</v>
      </c>
      <c r="B7" t="s">
        <v>18</v>
      </c>
      <c r="C7" s="17" t="s">
        <v>27</v>
      </c>
      <c r="D7" s="29">
        <v>0</v>
      </c>
    </row>
    <row r="8" spans="1:4" ht="15" thickBot="1" x14ac:dyDescent="0.4">
      <c r="A8" s="13" t="str">
        <f t="shared" si="0"/>
        <v>Conservador-HOTELARIAS</v>
      </c>
      <c r="B8" s="13" t="s">
        <v>18</v>
      </c>
      <c r="C8" s="28" t="s">
        <v>28</v>
      </c>
      <c r="D8" s="30">
        <v>0</v>
      </c>
    </row>
    <row r="9" spans="1:4" x14ac:dyDescent="0.35">
      <c r="A9" t="str">
        <f t="shared" si="0"/>
        <v>Moderado-PAPEL</v>
      </c>
      <c r="B9" t="s">
        <v>29</v>
      </c>
      <c r="C9" s="17" t="s">
        <v>21</v>
      </c>
      <c r="D9" s="18">
        <v>0.32</v>
      </c>
    </row>
    <row r="10" spans="1:4" x14ac:dyDescent="0.35">
      <c r="A10" t="str">
        <f t="shared" si="0"/>
        <v>Moderado-TIJOLO</v>
      </c>
      <c r="B10" t="s">
        <v>29</v>
      </c>
      <c r="C10" s="17" t="s">
        <v>22</v>
      </c>
      <c r="D10" s="18">
        <v>0.4</v>
      </c>
    </row>
    <row r="11" spans="1:4" x14ac:dyDescent="0.35">
      <c r="A11" t="str">
        <f t="shared" si="0"/>
        <v>Moderado-HÍBRIDOS</v>
      </c>
      <c r="B11" t="s">
        <v>29</v>
      </c>
      <c r="C11" s="17" t="s">
        <v>25</v>
      </c>
      <c r="D11" s="18">
        <v>0.08</v>
      </c>
    </row>
    <row r="12" spans="1:4" x14ac:dyDescent="0.35">
      <c r="A12" t="str">
        <f t="shared" si="0"/>
        <v>Moderado-FOFs</v>
      </c>
      <c r="B12" t="s">
        <v>29</v>
      </c>
      <c r="C12" s="17" t="s">
        <v>26</v>
      </c>
      <c r="D12" s="18">
        <v>0.1</v>
      </c>
    </row>
    <row r="13" spans="1:4" x14ac:dyDescent="0.35">
      <c r="A13" t="str">
        <f t="shared" si="0"/>
        <v>Moderado-DESENVOLVIMENTO</v>
      </c>
      <c r="B13" t="s">
        <v>29</v>
      </c>
      <c r="C13" s="17" t="s">
        <v>27</v>
      </c>
      <c r="D13" s="18">
        <v>0.05</v>
      </c>
    </row>
    <row r="14" spans="1:4" ht="15" thickBot="1" x14ac:dyDescent="0.4">
      <c r="A14" s="13" t="str">
        <f t="shared" si="0"/>
        <v>Moderado-HOTELARIAS</v>
      </c>
      <c r="B14" s="13" t="s">
        <v>29</v>
      </c>
      <c r="C14" s="28" t="s">
        <v>28</v>
      </c>
      <c r="D14" s="31">
        <v>0.05</v>
      </c>
    </row>
    <row r="15" spans="1:4" x14ac:dyDescent="0.35">
      <c r="A15" t="str">
        <f t="shared" si="0"/>
        <v>Agressivo-PAPEL</v>
      </c>
      <c r="B15" t="s">
        <v>30</v>
      </c>
      <c r="C15" s="17" t="s">
        <v>21</v>
      </c>
      <c r="D15" s="18">
        <v>0.5</v>
      </c>
    </row>
    <row r="16" spans="1:4" x14ac:dyDescent="0.35">
      <c r="A16" t="str">
        <f t="shared" si="0"/>
        <v>Agressivo-TIJOLO</v>
      </c>
      <c r="B16" t="s">
        <v>30</v>
      </c>
      <c r="C16" s="17" t="s">
        <v>22</v>
      </c>
      <c r="D16" s="18">
        <v>0.1</v>
      </c>
    </row>
    <row r="17" spans="1:4" x14ac:dyDescent="0.35">
      <c r="A17" t="str">
        <f t="shared" si="0"/>
        <v>Agressivo-HÍBRIDOS</v>
      </c>
      <c r="B17" t="s">
        <v>30</v>
      </c>
      <c r="C17" s="17" t="s">
        <v>25</v>
      </c>
      <c r="D17" s="18">
        <v>0.05</v>
      </c>
    </row>
    <row r="18" spans="1:4" x14ac:dyDescent="0.35">
      <c r="A18" t="str">
        <f t="shared" si="0"/>
        <v>Agressivo-FOFs</v>
      </c>
      <c r="B18" t="s">
        <v>30</v>
      </c>
      <c r="C18" s="17" t="s">
        <v>26</v>
      </c>
      <c r="D18" s="18">
        <v>0.05</v>
      </c>
    </row>
    <row r="19" spans="1:4" x14ac:dyDescent="0.35">
      <c r="A19" t="str">
        <f t="shared" si="0"/>
        <v>Agressivo-DESENVOLVIMENTO</v>
      </c>
      <c r="B19" t="s">
        <v>30</v>
      </c>
      <c r="C19" s="17" t="s">
        <v>27</v>
      </c>
      <c r="D19" s="18">
        <v>0.2</v>
      </c>
    </row>
    <row r="20" spans="1:4" ht="15" thickBot="1" x14ac:dyDescent="0.4">
      <c r="A20" s="13" t="str">
        <f t="shared" si="0"/>
        <v>Agressivo-HOTELARIAS</v>
      </c>
      <c r="B20" s="13" t="s">
        <v>30</v>
      </c>
      <c r="C20" s="28" t="s">
        <v>28</v>
      </c>
      <c r="D20" s="31">
        <v>0.1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fa8ee1c0-7bef-4b0e-9720-38e5bcc1c3ad}" enabled="1" method="Privileged" siteId="{ffc0be44-315f-4479-b12f-56afe6ededd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5</vt:i4>
      </vt:variant>
    </vt:vector>
  </HeadingPairs>
  <TitlesOfParts>
    <vt:vector size="7" baseType="lpstr">
      <vt:lpstr>Planilha1</vt:lpstr>
      <vt:lpstr>P-Apoio</vt:lpstr>
      <vt:lpstr>aporte</vt:lpstr>
      <vt:lpstr>patrimonio</vt:lpstr>
      <vt:lpstr>Qtd_anos</vt:lpstr>
      <vt:lpstr>Rendimento_carteira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de Souza Donato</dc:creator>
  <cp:lastModifiedBy>Rodrigo de Souza Donato</cp:lastModifiedBy>
  <dcterms:created xsi:type="dcterms:W3CDTF">2025-12-24T12:40:29Z</dcterms:created>
  <dcterms:modified xsi:type="dcterms:W3CDTF">2026-01-02T16:35:27Z</dcterms:modified>
</cp:coreProperties>
</file>